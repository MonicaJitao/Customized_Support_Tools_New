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nica\Desktop\微众银行\一户一策小工具\"/>
    </mc:Choice>
  </mc:AlternateContent>
  <xr:revisionPtr revIDLastSave="0" documentId="13_ncr:1_{4996C04E-785B-44F2-9B98-6CA2B88CF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" i="1"/>
  <c r="I2" i="1"/>
  <c r="B25" i="1"/>
  <c r="B24" i="1" a="1"/>
  <c r="B24" i="1" s="1"/>
  <c r="B26" i="1" s="1"/>
  <c r="B20" i="1"/>
  <c r="B21" i="1" s="1"/>
  <c r="B19" i="1"/>
  <c r="B13" i="1"/>
  <c r="B7" i="1"/>
  <c r="B6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陈季韬</author>
  </authors>
  <commentList>
    <comment ref="B25" authorId="0" shapeId="0" xr:uid="{95E6B8B8-3407-4549-8EF2-35B41CF1D9DE}">
      <text>
        <r>
          <rPr>
            <b/>
            <sz val="9"/>
            <color indexed="81"/>
            <rFont val="宋体"/>
            <charset val="134"/>
          </rPr>
          <t>陈季韬:</t>
        </r>
        <r>
          <rPr>
            <sz val="9"/>
            <color indexed="81"/>
            <rFont val="宋体"/>
            <charset val="134"/>
          </rPr>
          <t xml:space="preserve">
未来三个月均开票金额
=((过去三个月均保证金金额*(保证金FTP收入-支出))-(过去三个月均敞口金额*(战略业务成本-信贷</t>
        </r>
        <r>
          <rPr>
            <sz val="9"/>
            <color indexed="81"/>
            <rFont val="宋体"/>
            <family val="3"/>
            <charset val="134"/>
          </rPr>
          <t>FTP</t>
        </r>
        <r>
          <rPr>
            <sz val="9"/>
            <color indexed="81"/>
            <rFont val="宋体"/>
            <charset val="134"/>
          </rPr>
          <t>))-(过去三个月均敞口金额*优化后风险成本)/((目标保证金比例*(保证金FTP收入-支出))-((1-目标保证金比例)*(战略业务成本-信贷ftp))-((1-目标保证金比例)*优化后风险成本)-((当前生效保证金比例-目标保证金比例)*(生效保证金比例对应的价格-战略业务成本-优化后风险成本)*过去三个月日均额占)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<sst xmlns="http://schemas.openxmlformats.org/spreadsheetml/2006/main" count="29" uniqueCount="29">
  <si>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保证金FTP收入-6个月定期支出</t>
  </si>
  <si>
    <t>战略业务成本</t>
  </si>
  <si>
    <t>保证金FTP收入</t>
  </si>
  <si>
    <t>保证金FTP活期支出</t>
  </si>
  <si>
    <t>保证金FTP3个月定期支出</t>
    <phoneticPr fontId="1" type="noConversion"/>
  </si>
  <si>
    <t>保证金FTP6个月定期支出</t>
    <phoneticPr fontId="1" type="noConversion"/>
  </si>
  <si>
    <t>保证金FTP收入-活期支出</t>
    <phoneticPr fontId="1" type="noConversion"/>
  </si>
  <si>
    <t>保证金FTP收入-3个月定期支出</t>
  </si>
  <si>
    <t>计算2:输入保证金比例得到收益打平开票金额</t>
  </si>
  <si>
    <t>当前生效保证金比例</t>
  </si>
  <si>
    <t>生效保证金比例对应的价格</t>
  </si>
  <si>
    <t>过去三个月均敞口金额(万)</t>
  </si>
  <si>
    <t>过去三个月均保证金金额(万)</t>
  </si>
  <si>
    <t>团队长权限</t>
  </si>
  <si>
    <t>过去三个月贷款日均额占</t>
    <phoneticPr fontId="1" type="noConversion"/>
  </si>
  <si>
    <t>优化后风险成本</t>
    <phoneticPr fontId="1" type="noConversion"/>
  </si>
  <si>
    <t>团队长权限对应保证金比例</t>
  </si>
  <si>
    <t>分管领导权限</t>
  </si>
  <si>
    <t>分管领导权限对应保证金比例</t>
  </si>
  <si>
    <t>目标保证金比例</t>
  </si>
  <si>
    <t>活期/定期</t>
  </si>
  <si>
    <t>对应保证金收益率</t>
  </si>
  <si>
    <t>未来三个月均开票金额(万)</t>
  </si>
  <si>
    <t>未来三个月需提升开票金额(万)</t>
  </si>
  <si>
    <t>活期</t>
  </si>
  <si>
    <t xml:space="preserve">信贷FTP </t>
    <phoneticPr fontId="1" type="noConversion"/>
  </si>
  <si>
    <t>保证金比例</t>
  </si>
  <si>
    <t>未来三个月开票金额</t>
  </si>
  <si>
    <t>未来三个月开票金额2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</si>
</sst>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AF1D2"/>
        <bgColor indexed="64"/>
      </patternFill>
    </fill>
    <fill>
      <patternFill patternType="solid">
        <fgColor rgb="FFE1EAFC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9" fontId="0" fillId="0" borderId="1" xfId="0" applyNumberFormat="1" applyBorder="1"/>
    <xf numFmtId="178" fontId="0" fillId="0" borderId="1" xfId="0" applyNumberFormat="1" applyBorder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1EAFC"/>
      <color rgb="FFFAF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未来三个月开票金额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未来三个月开票金额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F7FE-478F-9DBB-BFBC58114D1D}"/>
              </c:ext>
            </c:extLst>
          </c:dPt>
          <c:cat>
            <c:numRef>
              <c:f>Sheet1!$H$2:$H$102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Sheet1!$I$2:$I$102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1891.9925512104292</c:v>
                </c:pt>
                <c:pt idx="41">
                  <c:v>1703.5546613011409</c:v>
                </c:pt>
                <c:pt idx="42">
                  <c:v>1549.2528209820071</c:v>
                </c:pt>
                <c:pt idx="43">
                  <c:v>1420.5816554809853</c:v>
                </c:pt>
                <c:pt idx="44">
                  <c:v>1311.6447198554097</c:v>
                </c:pt>
                <c:pt idx="45">
                  <c:v>1218.2254196642691</c:v>
                </c:pt>
                <c:pt idx="46">
                  <c:v>1137.2285650324607</c:v>
                </c:pt>
                <c:pt idx="47">
                  <c:v>1066.3308144416462</c:v>
                </c:pt>
                <c:pt idx="48">
                  <c:v>1003.7541987749461</c:v>
                </c:pt>
                <c:pt idx="49">
                  <c:v>948.11496827174358</c:v>
                </c:pt>
                <c:pt idx="50">
                  <c:v>898.3200707338641</c:v>
                </c:pt>
                <c:pt idx="51">
                  <c:v>853.4946236559141</c:v>
                </c:pt>
                <c:pt idx="52">
                  <c:v>812.93006881100973</c:v>
                </c:pt>
                <c:pt idx="53">
                  <c:v>776.04644057439668</c:v>
                </c:pt>
                <c:pt idx="54">
                  <c:v>742.36446003214962</c:v>
                </c:pt>
                <c:pt idx="55">
                  <c:v>711.48459383753504</c:v>
                </c:pt>
                <c:pt idx="56">
                  <c:v>683.07113083232491</c:v>
                </c:pt>
                <c:pt idx="57">
                  <c:v>656.83992759244916</c:v>
                </c:pt>
                <c:pt idx="58">
                  <c:v>632.54887311667312</c:v>
                </c:pt>
                <c:pt idx="59">
                  <c:v>609.99039385206538</c:v>
                </c:pt>
                <c:pt idx="60">
                  <c:v>588.98550724637687</c:v>
                </c:pt>
                <c:pt idx="61">
                  <c:v>569.37906299036104</c:v>
                </c:pt>
                <c:pt idx="62">
                  <c:v>551.03590411107507</c:v>
                </c:pt>
                <c:pt idx="63">
                  <c:v>533.83774695250111</c:v>
                </c:pt>
                <c:pt idx="64">
                  <c:v>517.68062773871407</c:v>
                </c:pt>
                <c:pt idx="65">
                  <c:v>502.47279920870432</c:v>
                </c:pt>
                <c:pt idx="66">
                  <c:v>488.13298741231864</c:v>
                </c:pt>
                <c:pt idx="67">
                  <c:v>474.58893871449925</c:v>
                </c:pt>
                <c:pt idx="68">
                  <c:v>461.77620216343968</c:v>
                </c:pt>
                <c:pt idx="69">
                  <c:v>449.63710391219695</c:v>
                </c:pt>
                <c:pt idx="70">
                  <c:v>438.11987925830118</c:v>
                </c:pt>
                <c:pt idx="71">
                  <c:v>427.17793474604787</c:v>
                </c:pt>
                <c:pt idx="72">
                  <c:v>416.76921814751017</c:v>
                </c:pt>
                <c:pt idx="73">
                  <c:v>406.85567835976298</c:v>
                </c:pt>
                <c:pt idx="74">
                  <c:v>397.40280059453966</c:v>
                </c:pt>
                <c:pt idx="75">
                  <c:v>388.37920489296641</c:v>
                </c:pt>
                <c:pt idx="76">
                  <c:v>379.75629812364508</c:v>
                </c:pt>
                <c:pt idx="77">
                  <c:v>371.50797133245578</c:v>
                </c:pt>
                <c:pt idx="78">
                  <c:v>363.61033569536897</c:v>
                </c:pt>
                <c:pt idx="79">
                  <c:v>356.04149144939726</c:v>
                </c:pt>
                <c:pt idx="80">
                  <c:v>348.78132509440445</c:v>
                </c:pt>
                <c:pt idx="81">
                  <c:v>341.81133091104834</c:v>
                </c:pt>
                <c:pt idx="82">
                  <c:v>335.11445345999084</c:v>
                </c:pt>
                <c:pt idx="83">
                  <c:v>328.67494824016569</c:v>
                </c:pt>
                <c:pt idx="84">
                  <c:v>322.47825810956641</c:v>
                </c:pt>
                <c:pt idx="85">
                  <c:v>316.51090342679129</c:v>
                </c:pt>
                <c:pt idx="86">
                  <c:v>310.76038416834905</c:v>
                </c:pt>
                <c:pt idx="87">
                  <c:v>305.21509252583519</c:v>
                </c:pt>
                <c:pt idx="88">
                  <c:v>299.8642346968893</c:v>
                </c:pt>
                <c:pt idx="89">
                  <c:v>294.69776076110924</c:v>
                </c:pt>
                <c:pt idx="90">
                  <c:v>289.70630168234959</c:v>
                </c:pt>
                <c:pt idx="91">
                  <c:v>284.88111260655</c:v>
                </c:pt>
                <c:pt idx="92">
                  <c:v>280.2140217331347</c:v>
                </c:pt>
                <c:pt idx="93">
                  <c:v>275.69738413111907</c:v>
                </c:pt>
                <c:pt idx="94">
                  <c:v>271.32403995086264</c:v>
                </c:pt>
                <c:pt idx="95">
                  <c:v>267.08727655099898</c:v>
                </c:pt>
                <c:pt idx="96">
                  <c:v>262.98079411916967</c:v>
                </c:pt>
                <c:pt idx="97">
                  <c:v>258.99867441623331</c:v>
                </c:pt>
                <c:pt idx="98">
                  <c:v>255.1353523178143</c:v>
                </c:pt>
                <c:pt idx="99">
                  <c:v>251.38558986539985</c:v>
                </c:pt>
                <c:pt idx="100">
                  <c:v>247.74445257254331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E-478F-9DBB-BFBC5811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173615"/>
        <c:axId val="1158174095"/>
      </c:lineChart>
      <c:catAx>
        <c:axId val="115817361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8174095"/>
        <c:crosses val="autoZero"/>
        <c:auto val="1"/>
        <c:lblAlgn val="ctr"/>
        <c:lblOffset val="100"/>
        <c:tickLblSkip val="10"/>
        <c:noMultiLvlLbl val="0"/>
      </c:catAx>
      <c:valAx>
        <c:axId val="1158174095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8173615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347662</xdr:colOff>
      <xdr:row>6</xdr:row>
      <xdr:rowOff>28575</xdr:rowOff>
    </xdr:from>
    <xdr:to>
      <xdr:col>6</xdr:col>
      <xdr:colOff>866775</xdr:colOff>
      <xdr:row>18</xdr:row>
      <xdr:rowOff>180975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E5E803A-111D-ABB1-256C-427312B5A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F4" sqref="F4"/>
    </sheetView>
  </sheetViews>
  <sheetFormatPr defaultRowHeight="15" customHeight="1" x14ac:dyDescent="0.2"/>
  <cols>
    <col min="1" max="1" width="40.75" style="1" customWidth="1"/>
    <col min="2" max="2" width="21.625" style="1" customWidth="1"/>
    <col min="3" max="7" width="14" style="1" customWidth="1"/>
    <col min="8" max="8" width="12.5" style="1" customWidth="1"/>
    <col min="9" max="9" width="21.75" style="1" customWidth="1"/>
    <col min="10" max="10" width="24" style="1" customWidth="1"/>
    <col min="11" max="16384" width="9" style="1"/>
  </cols>
  <sheetData>
    <row r="1" spans="1:10" ht="15" customHeight="1" x14ac:dyDescent="0.2">
      <c r="A1" s="1" t="s">
        <v>2</v>
      </c>
      <c r="B1" s="2">
        <v>2.12E-2</v>
      </c>
      <c r="H1" s="1" t="s">
        <v>26</v>
      </c>
      <c r="I1" s="1" t="s">
        <v>27</v>
      </c>
      <c r="J1" s="1" t="s">
        <v>28</v>
      </c>
    </row>
    <row r="2" spans="1:10" ht="15" customHeight="1" x14ac:dyDescent="0.2">
      <c r="A2" s="1" t="s">
        <v>3</v>
      </c>
      <c r="B2" s="2">
        <v>0</v>
      </c>
      <c r="H2" s="8">
        <v>0</v>
      </c>
      <c r="I2" s="7">
        <f>IF(OR(J2&lt;0,J2&gt;2000),,J2)</f>
        <v>0</v>
      </c>
      <c r="J2" s="7">
        <f>((B$15*B$5)-(B$14*(B$8-B$9))-(B$14*B$17))/((H2*B$5)-((1-B$22)*(B$8-B$9))-((1-H2)*B$17)-((B$12-H2)*(B$13-B$8-B$17)*B$16))</f>
        <v>-552.47417074497014</v>
      </c>
    </row>
    <row r="3" spans="1:10" ht="15" customHeight="1" x14ac:dyDescent="0.2">
      <c r="A3" s="1" t="s">
        <v>4</v>
      </c>
      <c r="B3" s="2">
        <v>1.0999999999999999E-2</v>
      </c>
      <c r="H3" s="6">
        <v>0.01</v>
      </c>
      <c r="I3" s="7">
        <f t="shared" ref="I3:I66" si="0">IF(OR(J3&lt;0,J3&gt;2000),,J3)</f>
        <v>0</v>
      </c>
      <c r="J3" s="7">
        <f t="shared" ref="J3:J66" si="1">((B$15*B$5)-(B$14*(B$8-B$9))-(B$14*B$17))/((H3*B$5)-((1-B$22)*(B$8-B$9))-((1-H3)*B$17)-((B$12-H3)*(B$13-B$8-B$17)*B$16))</f>
        <v>-570.91481231737475</v>
      </c>
    </row>
    <row r="4" spans="1:10" ht="15" customHeight="1" x14ac:dyDescent="0.2">
      <c r="A4" s="1" t="s">
        <v>5</v>
      </c>
      <c r="B4" s="2">
        <v>1.2999999999999999E-2</v>
      </c>
      <c r="H4" s="8">
        <v>0.02</v>
      </c>
      <c r="I4" s="7">
        <f t="shared" si="0"/>
        <v>0</v>
      </c>
      <c r="J4" s="7">
        <f t="shared" si="1"/>
        <v>-590.62899662829909</v>
      </c>
    </row>
    <row r="5" spans="1:10" ht="15" customHeight="1" x14ac:dyDescent="0.2">
      <c r="A5" s="1" t="s">
        <v>6</v>
      </c>
      <c r="B5" s="2">
        <f>B1-B2</f>
        <v>2.12E-2</v>
      </c>
      <c r="H5" s="6">
        <v>0.03</v>
      </c>
      <c r="I5" s="7">
        <f t="shared" si="0"/>
        <v>0</v>
      </c>
      <c r="J5" s="7">
        <f t="shared" si="1"/>
        <v>-611.75337186897889</v>
      </c>
    </row>
    <row r="6" spans="1:10" ht="15" customHeight="1" x14ac:dyDescent="0.2">
      <c r="A6" s="1" t="s">
        <v>7</v>
      </c>
      <c r="B6" s="2">
        <f>B1-B3</f>
        <v>1.0200000000000001E-2</v>
      </c>
      <c r="H6" s="8">
        <v>0.04</v>
      </c>
      <c r="I6" s="7">
        <f t="shared" si="0"/>
        <v>0</v>
      </c>
      <c r="J6" s="7">
        <f t="shared" si="1"/>
        <v>-634.44486074684664</v>
      </c>
    </row>
    <row r="7" spans="1:10" ht="15" customHeight="1" x14ac:dyDescent="0.2">
      <c r="A7" s="1" t="s">
        <v>0</v>
      </c>
      <c r="B7" s="2">
        <f>B1-B4</f>
        <v>8.2000000000000007E-3</v>
      </c>
      <c r="H7" s="6">
        <v>0.05</v>
      </c>
      <c r="I7" s="7">
        <f t="shared" si="0"/>
        <v>0</v>
      </c>
      <c r="J7" s="7">
        <f t="shared" si="1"/>
        <v>-658.88456549935154</v>
      </c>
    </row>
    <row r="8" spans="1:10" ht="15" customHeight="1" x14ac:dyDescent="0.2">
      <c r="A8" s="1" t="s">
        <v>1</v>
      </c>
      <c r="B8" s="2">
        <v>3.1E-2</v>
      </c>
      <c r="H8" s="8">
        <v>0.06</v>
      </c>
      <c r="I8" s="7">
        <f t="shared" si="0"/>
        <v>0</v>
      </c>
      <c r="J8" s="7">
        <f t="shared" si="1"/>
        <v>-685.28261162822071</v>
      </c>
    </row>
    <row r="9" spans="1:10" ht="15" customHeight="1" x14ac:dyDescent="0.2">
      <c r="A9" s="1" t="s">
        <v>25</v>
      </c>
      <c r="B9" s="2">
        <v>2.1299999999999999E-2</v>
      </c>
      <c r="H9" s="6">
        <v>7.0000000000000007E-2</v>
      </c>
      <c r="I9" s="7">
        <f t="shared" si="0"/>
        <v>0</v>
      </c>
      <c r="J9" s="7">
        <f t="shared" si="1"/>
        <v>-713.88420460933116</v>
      </c>
    </row>
    <row r="10" spans="1:10" ht="15" customHeight="1" x14ac:dyDescent="0.2">
      <c r="H10" s="8">
        <v>0.08</v>
      </c>
      <c r="I10" s="7">
        <f t="shared" si="0"/>
        <v>0</v>
      </c>
      <c r="J10" s="7">
        <f t="shared" si="1"/>
        <v>-744.97726939433949</v>
      </c>
    </row>
    <row r="11" spans="1:10" ht="15" customHeight="1" x14ac:dyDescent="0.2">
      <c r="A11" s="3" t="s">
        <v>8</v>
      </c>
      <c r="H11" s="6">
        <v>0.09</v>
      </c>
      <c r="I11" s="7">
        <f t="shared" si="0"/>
        <v>0</v>
      </c>
      <c r="J11" s="7">
        <f t="shared" si="1"/>
        <v>-778.90217724624347</v>
      </c>
    </row>
    <row r="12" spans="1:10" ht="15" customHeight="1" x14ac:dyDescent="0.2">
      <c r="A12" s="4" t="s">
        <v>9</v>
      </c>
      <c r="B12" s="6">
        <v>0.5</v>
      </c>
      <c r="H12" s="8">
        <v>0.1</v>
      </c>
      <c r="I12" s="7">
        <f t="shared" si="0"/>
        <v>0</v>
      </c>
      <c r="J12" s="7">
        <f t="shared" si="1"/>
        <v>-816.06425702811248</v>
      </c>
    </row>
    <row r="13" spans="1:10" ht="15" customHeight="1" x14ac:dyDescent="0.2">
      <c r="A13" s="4" t="s">
        <v>10</v>
      </c>
      <c r="B13" s="2">
        <f>ROUNDDOWN(($B$9*B12)/(1-B12),2)+$B$9</f>
        <v>4.1300000000000003E-2</v>
      </c>
      <c r="H13" s="6">
        <v>0.11</v>
      </c>
      <c r="I13" s="7">
        <f t="shared" si="0"/>
        <v>0</v>
      </c>
      <c r="J13" s="7">
        <f t="shared" si="1"/>
        <v>-856.95006747638331</v>
      </c>
    </row>
    <row r="14" spans="1:10" ht="15" customHeight="1" x14ac:dyDescent="0.2">
      <c r="A14" s="4" t="s">
        <v>11</v>
      </c>
      <c r="B14" s="1">
        <v>100</v>
      </c>
      <c r="H14" s="8">
        <v>0.12</v>
      </c>
      <c r="I14" s="7">
        <f t="shared" si="0"/>
        <v>0</v>
      </c>
      <c r="J14" s="7">
        <f t="shared" si="1"/>
        <v>-902.14881903747118</v>
      </c>
    </row>
    <row r="15" spans="1:10" ht="15" customHeight="1" x14ac:dyDescent="0.2">
      <c r="A15" s="4" t="s">
        <v>12</v>
      </c>
      <c r="B15" s="1">
        <v>300</v>
      </c>
      <c r="H15" s="6">
        <v>0.13</v>
      </c>
      <c r="I15" s="7">
        <f t="shared" si="0"/>
        <v>0</v>
      </c>
      <c r="J15" s="7">
        <f t="shared" si="1"/>
        <v>-952.38095238095252</v>
      </c>
    </row>
    <row r="16" spans="1:10" ht="15" customHeight="1" x14ac:dyDescent="0.2">
      <c r="A16" s="4" t="s">
        <v>14</v>
      </c>
      <c r="B16" s="6">
        <v>0.75</v>
      </c>
      <c r="H16" s="8">
        <v>0.14000000000000001</v>
      </c>
      <c r="I16" s="7">
        <f t="shared" si="0"/>
        <v>0</v>
      </c>
      <c r="J16" s="7">
        <f t="shared" si="1"/>
        <v>-1008.5368274766727</v>
      </c>
    </row>
    <row r="17" spans="1:10" ht="15" customHeight="1" x14ac:dyDescent="0.2">
      <c r="A17" s="4" t="s">
        <v>15</v>
      </c>
      <c r="B17" s="2">
        <v>3.0999999999999999E-3</v>
      </c>
      <c r="H17" s="6">
        <v>0.15</v>
      </c>
      <c r="I17" s="7">
        <f t="shared" si="0"/>
        <v>0</v>
      </c>
      <c r="J17" s="7">
        <f t="shared" si="1"/>
        <v>-1071.7299578059074</v>
      </c>
    </row>
    <row r="18" spans="1:10" ht="15" customHeight="1" x14ac:dyDescent="0.2">
      <c r="A18" s="4" t="s">
        <v>13</v>
      </c>
      <c r="B18" s="2">
        <v>4.4999999999999998E-2</v>
      </c>
      <c r="H18" s="8">
        <v>0.16</v>
      </c>
      <c r="I18" s="7">
        <f t="shared" si="0"/>
        <v>0</v>
      </c>
      <c r="J18" s="7">
        <f t="shared" si="1"/>
        <v>-1143.3715957686247</v>
      </c>
    </row>
    <row r="19" spans="1:10" ht="15" customHeight="1" x14ac:dyDescent="0.2">
      <c r="A19" s="5" t="s">
        <v>16</v>
      </c>
      <c r="B19" s="6">
        <f>(B18-B9)/B18</f>
        <v>0.52666666666666662</v>
      </c>
      <c r="H19" s="6">
        <v>0.17</v>
      </c>
      <c r="I19" s="7">
        <f t="shared" si="0"/>
        <v>0</v>
      </c>
      <c r="J19" s="7">
        <f t="shared" si="1"/>
        <v>-1225.2773757838881</v>
      </c>
    </row>
    <row r="20" spans="1:10" ht="15" customHeight="1" x14ac:dyDescent="0.2">
      <c r="A20" s="5" t="s">
        <v>17</v>
      </c>
      <c r="B20" s="2">
        <f>B17+B9</f>
        <v>2.4399999999999998E-2</v>
      </c>
      <c r="H20" s="8">
        <v>0.18</v>
      </c>
      <c r="I20" s="7">
        <f t="shared" si="0"/>
        <v>0</v>
      </c>
      <c r="J20" s="7">
        <f t="shared" si="1"/>
        <v>-1319.8233307352559</v>
      </c>
    </row>
    <row r="21" spans="1:10" ht="15" customHeight="1" x14ac:dyDescent="0.2">
      <c r="A21" s="5" t="s">
        <v>18</v>
      </c>
      <c r="B21" s="6">
        <f>(B20-B9)/B20</f>
        <v>0.1270491803278688</v>
      </c>
      <c r="H21" s="6">
        <v>0.19</v>
      </c>
      <c r="I21" s="7">
        <f t="shared" si="0"/>
        <v>0</v>
      </c>
      <c r="J21" s="7">
        <f t="shared" si="1"/>
        <v>-1430.1801801801803</v>
      </c>
    </row>
    <row r="22" spans="1:10" ht="15" customHeight="1" x14ac:dyDescent="0.2">
      <c r="A22" s="4" t="s">
        <v>19</v>
      </c>
      <c r="B22" s="6">
        <v>0.65</v>
      </c>
      <c r="H22" s="8">
        <v>0.2</v>
      </c>
      <c r="I22" s="7">
        <f t="shared" si="0"/>
        <v>0</v>
      </c>
      <c r="J22" s="7">
        <f t="shared" si="1"/>
        <v>-1560.6758832565283</v>
      </c>
    </row>
    <row r="23" spans="1:10" ht="15" customHeight="1" x14ac:dyDescent="0.2">
      <c r="A23" s="4" t="s">
        <v>20</v>
      </c>
      <c r="B23" s="1" t="s">
        <v>24</v>
      </c>
      <c r="H23" s="6">
        <v>0.21</v>
      </c>
      <c r="I23" s="7">
        <f t="shared" si="0"/>
        <v>0</v>
      </c>
      <c r="J23" s="7">
        <f t="shared" si="1"/>
        <v>-1717.3766058147394</v>
      </c>
    </row>
    <row r="24" spans="1:10" ht="15" customHeight="1" x14ac:dyDescent="0.2">
      <c r="A24" s="5" t="s">
        <v>21</v>
      </c>
      <c r="B24" s="2" cm="1">
        <f t="array" ref="B24">_xlfn.IFS(B23="活期",B$5,B23="3个月定期",B$6,B23="6个月定期",B$7)</f>
        <v>2.12E-2</v>
      </c>
      <c r="H24" s="8">
        <v>0.22</v>
      </c>
      <c r="I24" s="7">
        <f t="shared" si="0"/>
        <v>0</v>
      </c>
      <c r="J24" s="7">
        <f t="shared" si="1"/>
        <v>-1909.0567455843664</v>
      </c>
    </row>
    <row r="25" spans="1:10" ht="15" customHeight="1" x14ac:dyDescent="0.2">
      <c r="A25" s="5" t="s">
        <v>22</v>
      </c>
      <c r="B25" s="7">
        <f>((B15*B24)-(B14*(B8-B9))-(B14*B17))/((B22*B24)-((1-B22)*(B8-B9))-((1-B22)*B17)-((B12-B22)*(B13-B8-B17)*B16))</f>
        <v>502.47279920870432</v>
      </c>
      <c r="H25" s="6">
        <v>0.23</v>
      </c>
      <c r="I25" s="7">
        <f t="shared" si="0"/>
        <v>0</v>
      </c>
      <c r="J25" s="7">
        <f t="shared" si="1"/>
        <v>-2148.9001692047377</v>
      </c>
    </row>
    <row r="26" spans="1:10" ht="15" customHeight="1" x14ac:dyDescent="0.2">
      <c r="A26" s="5" t="s">
        <v>23</v>
      </c>
      <c r="B26" s="7">
        <f>B25-(B14+B15)</f>
        <v>102.47279920870432</v>
      </c>
      <c r="H26" s="8">
        <v>0.24</v>
      </c>
      <c r="I26" s="7">
        <f t="shared" si="0"/>
        <v>0</v>
      </c>
      <c r="J26" s="7">
        <f t="shared" si="1"/>
        <v>-2457.6681180454757</v>
      </c>
    </row>
    <row r="27" spans="1:10" ht="15" customHeight="1" x14ac:dyDescent="0.2">
      <c r="H27" s="6">
        <v>0.25</v>
      </c>
      <c r="I27" s="7">
        <f t="shared" si="0"/>
        <v>0</v>
      </c>
      <c r="J27" s="7">
        <f t="shared" si="1"/>
        <v>-2870.0564971751414</v>
      </c>
    </row>
    <row r="28" spans="1:10" ht="15" customHeight="1" x14ac:dyDescent="0.2">
      <c r="H28" s="8">
        <v>0.26</v>
      </c>
      <c r="I28" s="7">
        <f t="shared" si="0"/>
        <v>0</v>
      </c>
      <c r="J28" s="7">
        <f t="shared" si="1"/>
        <v>-3448.7440597420227</v>
      </c>
    </row>
    <row r="29" spans="1:10" ht="15" customHeight="1" x14ac:dyDescent="0.2">
      <c r="H29" s="6">
        <v>0.27</v>
      </c>
      <c r="I29" s="7">
        <f t="shared" si="0"/>
        <v>0</v>
      </c>
      <c r="J29" s="7">
        <f t="shared" si="1"/>
        <v>-4319.7278911564654</v>
      </c>
    </row>
    <row r="30" spans="1:10" ht="15" customHeight="1" x14ac:dyDescent="0.2">
      <c r="H30" s="8">
        <v>0.28000000000000003</v>
      </c>
      <c r="I30" s="7">
        <f t="shared" si="0"/>
        <v>0</v>
      </c>
      <c r="J30" s="7">
        <f t="shared" si="1"/>
        <v>-5779.2946530147892</v>
      </c>
    </row>
    <row r="31" spans="1:10" ht="15" customHeight="1" x14ac:dyDescent="0.2">
      <c r="H31" s="6">
        <v>0.28999999999999998</v>
      </c>
      <c r="I31" s="7">
        <f t="shared" si="0"/>
        <v>0</v>
      </c>
      <c r="J31" s="7">
        <f t="shared" si="1"/>
        <v>-8728.5223367697545</v>
      </c>
    </row>
    <row r="32" spans="1:10" ht="15" customHeight="1" x14ac:dyDescent="0.2">
      <c r="H32" s="8">
        <v>0.3</v>
      </c>
      <c r="I32" s="7">
        <f t="shared" si="0"/>
        <v>0</v>
      </c>
      <c r="J32" s="7">
        <f t="shared" si="1"/>
        <v>-17824.561403508771</v>
      </c>
    </row>
    <row r="33" spans="8:10" ht="15" customHeight="1" x14ac:dyDescent="0.2">
      <c r="H33" s="6">
        <v>0.31</v>
      </c>
      <c r="I33" s="7">
        <f t="shared" si="0"/>
        <v>0</v>
      </c>
      <c r="J33" s="7">
        <f t="shared" si="1"/>
        <v>423333.33333335374</v>
      </c>
    </row>
    <row r="34" spans="8:10" ht="15" customHeight="1" x14ac:dyDescent="0.2">
      <c r="H34" s="8">
        <v>0.32</v>
      </c>
      <c r="I34" s="7">
        <f t="shared" si="0"/>
        <v>0</v>
      </c>
      <c r="J34" s="7">
        <f t="shared" si="1"/>
        <v>16440.12944983819</v>
      </c>
    </row>
    <row r="35" spans="8:10" ht="15" customHeight="1" x14ac:dyDescent="0.2">
      <c r="H35" s="6">
        <v>0.33</v>
      </c>
      <c r="I35" s="7">
        <f t="shared" si="0"/>
        <v>0</v>
      </c>
      <c r="J35" s="7">
        <f t="shared" si="1"/>
        <v>8382.8382838283815</v>
      </c>
    </row>
    <row r="36" spans="8:10" ht="15" customHeight="1" x14ac:dyDescent="0.2">
      <c r="H36" s="8">
        <v>0.34</v>
      </c>
      <c r="I36" s="7">
        <f t="shared" si="0"/>
        <v>0</v>
      </c>
      <c r="J36" s="7">
        <f t="shared" si="1"/>
        <v>5625.6921373200394</v>
      </c>
    </row>
    <row r="37" spans="8:10" ht="15" customHeight="1" x14ac:dyDescent="0.2">
      <c r="H37" s="6">
        <v>0.35</v>
      </c>
      <c r="I37" s="7">
        <f t="shared" si="0"/>
        <v>0</v>
      </c>
      <c r="J37" s="7">
        <f t="shared" si="1"/>
        <v>4233.3333333333385</v>
      </c>
    </row>
    <row r="38" spans="8:10" ht="15" customHeight="1" x14ac:dyDescent="0.2">
      <c r="H38" s="8">
        <v>0.36</v>
      </c>
      <c r="I38" s="7">
        <f t="shared" si="0"/>
        <v>0</v>
      </c>
      <c r="J38" s="7">
        <f t="shared" si="1"/>
        <v>3393.4535738142986</v>
      </c>
    </row>
    <row r="39" spans="8:10" ht="15" customHeight="1" x14ac:dyDescent="0.2">
      <c r="H39" s="6">
        <v>0.37</v>
      </c>
      <c r="I39" s="7">
        <f t="shared" si="0"/>
        <v>0</v>
      </c>
      <c r="J39" s="7">
        <f t="shared" si="1"/>
        <v>2831.6610925306591</v>
      </c>
    </row>
    <row r="40" spans="8:10" ht="15" customHeight="1" x14ac:dyDescent="0.2">
      <c r="H40" s="8">
        <v>0.38</v>
      </c>
      <c r="I40" s="7">
        <f t="shared" si="0"/>
        <v>0</v>
      </c>
      <c r="J40" s="7">
        <f t="shared" si="1"/>
        <v>2429.4595887135347</v>
      </c>
    </row>
    <row r="41" spans="8:10" ht="15" customHeight="1" x14ac:dyDescent="0.2">
      <c r="H41" s="6">
        <v>0.39</v>
      </c>
      <c r="I41" s="7">
        <f t="shared" si="0"/>
        <v>0</v>
      </c>
      <c r="J41" s="7">
        <f t="shared" si="1"/>
        <v>2127.3031825795647</v>
      </c>
    </row>
    <row r="42" spans="8:10" ht="15" customHeight="1" x14ac:dyDescent="0.2">
      <c r="H42" s="8">
        <v>0.4</v>
      </c>
      <c r="I42" s="7">
        <f t="shared" si="0"/>
        <v>1891.9925512104292</v>
      </c>
      <c r="J42" s="7">
        <f t="shared" si="1"/>
        <v>1891.9925512104292</v>
      </c>
    </row>
    <row r="43" spans="8:10" ht="15" customHeight="1" x14ac:dyDescent="0.2">
      <c r="H43" s="6">
        <v>0.41</v>
      </c>
      <c r="I43" s="7">
        <f t="shared" si="0"/>
        <v>1703.5546613011409</v>
      </c>
      <c r="J43" s="7">
        <f t="shared" si="1"/>
        <v>1703.5546613011409</v>
      </c>
    </row>
    <row r="44" spans="8:10" ht="15" customHeight="1" x14ac:dyDescent="0.2">
      <c r="H44" s="8">
        <v>0.42</v>
      </c>
      <c r="I44" s="7">
        <f t="shared" si="0"/>
        <v>1549.2528209820071</v>
      </c>
      <c r="J44" s="7">
        <f t="shared" si="1"/>
        <v>1549.2528209820071</v>
      </c>
    </row>
    <row r="45" spans="8:10" ht="15" customHeight="1" x14ac:dyDescent="0.2">
      <c r="H45" s="6">
        <v>0.43</v>
      </c>
      <c r="I45" s="7">
        <f t="shared" si="0"/>
        <v>1420.5816554809853</v>
      </c>
      <c r="J45" s="7">
        <f t="shared" si="1"/>
        <v>1420.5816554809853</v>
      </c>
    </row>
    <row r="46" spans="8:10" ht="15" customHeight="1" x14ac:dyDescent="0.2">
      <c r="H46" s="8">
        <v>0.44</v>
      </c>
      <c r="I46" s="7">
        <f t="shared" si="0"/>
        <v>1311.6447198554097</v>
      </c>
      <c r="J46" s="7">
        <f t="shared" si="1"/>
        <v>1311.6447198554097</v>
      </c>
    </row>
    <row r="47" spans="8:10" ht="15" customHeight="1" x14ac:dyDescent="0.2">
      <c r="H47" s="6">
        <v>0.45</v>
      </c>
      <c r="I47" s="7">
        <f t="shared" si="0"/>
        <v>1218.2254196642691</v>
      </c>
      <c r="J47" s="7">
        <f t="shared" si="1"/>
        <v>1218.2254196642691</v>
      </c>
    </row>
    <row r="48" spans="8:10" ht="15" customHeight="1" x14ac:dyDescent="0.2">
      <c r="H48" s="8">
        <v>0.46</v>
      </c>
      <c r="I48" s="7">
        <f t="shared" si="0"/>
        <v>1137.2285650324607</v>
      </c>
      <c r="J48" s="7">
        <f t="shared" si="1"/>
        <v>1137.2285650324607</v>
      </c>
    </row>
    <row r="49" spans="8:10" ht="15" customHeight="1" x14ac:dyDescent="0.2">
      <c r="H49" s="6">
        <v>0.47</v>
      </c>
      <c r="I49" s="7">
        <f t="shared" si="0"/>
        <v>1066.3308144416462</v>
      </c>
      <c r="J49" s="7">
        <f t="shared" si="1"/>
        <v>1066.3308144416462</v>
      </c>
    </row>
    <row r="50" spans="8:10" ht="15" customHeight="1" x14ac:dyDescent="0.2">
      <c r="H50" s="8">
        <v>0.48</v>
      </c>
      <c r="I50" s="7">
        <f t="shared" si="0"/>
        <v>1003.7541987749461</v>
      </c>
      <c r="J50" s="7">
        <f t="shared" si="1"/>
        <v>1003.7541987749461</v>
      </c>
    </row>
    <row r="51" spans="8:10" ht="15" customHeight="1" x14ac:dyDescent="0.2">
      <c r="H51" s="6">
        <v>0.49</v>
      </c>
      <c r="I51" s="7">
        <f t="shared" si="0"/>
        <v>948.11496827174358</v>
      </c>
      <c r="J51" s="7">
        <f t="shared" si="1"/>
        <v>948.11496827174358</v>
      </c>
    </row>
    <row r="52" spans="8:10" ht="15" customHeight="1" x14ac:dyDescent="0.2">
      <c r="H52" s="8">
        <v>0.5</v>
      </c>
      <c r="I52" s="7">
        <f t="shared" si="0"/>
        <v>898.3200707338641</v>
      </c>
      <c r="J52" s="7">
        <f t="shared" si="1"/>
        <v>898.3200707338641</v>
      </c>
    </row>
    <row r="53" spans="8:10" ht="15" customHeight="1" x14ac:dyDescent="0.2">
      <c r="H53" s="6">
        <v>0.51</v>
      </c>
      <c r="I53" s="7">
        <f t="shared" si="0"/>
        <v>853.4946236559141</v>
      </c>
      <c r="J53" s="7">
        <f t="shared" si="1"/>
        <v>853.4946236559141</v>
      </c>
    </row>
    <row r="54" spans="8:10" ht="15" customHeight="1" x14ac:dyDescent="0.2">
      <c r="H54" s="8">
        <v>0.52</v>
      </c>
      <c r="I54" s="7">
        <f t="shared" si="0"/>
        <v>812.93006881100973</v>
      </c>
      <c r="J54" s="7">
        <f t="shared" si="1"/>
        <v>812.93006881100973</v>
      </c>
    </row>
    <row r="55" spans="8:10" ht="15" customHeight="1" x14ac:dyDescent="0.2">
      <c r="H55" s="6">
        <v>0.53</v>
      </c>
      <c r="I55" s="7">
        <f t="shared" si="0"/>
        <v>776.04644057439668</v>
      </c>
      <c r="J55" s="7">
        <f t="shared" si="1"/>
        <v>776.04644057439668</v>
      </c>
    </row>
    <row r="56" spans="8:10" ht="15" customHeight="1" x14ac:dyDescent="0.2">
      <c r="H56" s="8">
        <v>0.54</v>
      </c>
      <c r="I56" s="7">
        <f t="shared" si="0"/>
        <v>742.36446003214962</v>
      </c>
      <c r="J56" s="7">
        <f t="shared" si="1"/>
        <v>742.36446003214962</v>
      </c>
    </row>
    <row r="57" spans="8:10" ht="15" customHeight="1" x14ac:dyDescent="0.2">
      <c r="H57" s="6">
        <v>0.55000000000000004</v>
      </c>
      <c r="I57" s="7">
        <f t="shared" si="0"/>
        <v>711.48459383753504</v>
      </c>
      <c r="J57" s="7">
        <f t="shared" si="1"/>
        <v>711.48459383753504</v>
      </c>
    </row>
    <row r="58" spans="8:10" ht="15" customHeight="1" x14ac:dyDescent="0.2">
      <c r="H58" s="8">
        <v>0.56000000000000005</v>
      </c>
      <c r="I58" s="7">
        <f t="shared" si="0"/>
        <v>683.07113083232491</v>
      </c>
      <c r="J58" s="7">
        <f t="shared" si="1"/>
        <v>683.07113083232491</v>
      </c>
    </row>
    <row r="59" spans="8:10" ht="15" customHeight="1" x14ac:dyDescent="0.2">
      <c r="H59" s="6">
        <v>0.56999999999999995</v>
      </c>
      <c r="I59" s="7">
        <f t="shared" si="0"/>
        <v>656.83992759244916</v>
      </c>
      <c r="J59" s="7">
        <f t="shared" si="1"/>
        <v>656.83992759244916</v>
      </c>
    </row>
    <row r="60" spans="8:10" ht="15" customHeight="1" x14ac:dyDescent="0.2">
      <c r="H60" s="8">
        <v>0.57999999999999996</v>
      </c>
      <c r="I60" s="7">
        <f t="shared" si="0"/>
        <v>632.54887311667312</v>
      </c>
      <c r="J60" s="7">
        <f t="shared" si="1"/>
        <v>632.54887311667312</v>
      </c>
    </row>
    <row r="61" spans="8:10" ht="15" customHeight="1" x14ac:dyDescent="0.2">
      <c r="H61" s="6">
        <v>0.59</v>
      </c>
      <c r="I61" s="7">
        <f t="shared" si="0"/>
        <v>609.99039385206538</v>
      </c>
      <c r="J61" s="7">
        <f t="shared" si="1"/>
        <v>609.99039385206538</v>
      </c>
    </row>
    <row r="62" spans="8:10" ht="15" customHeight="1" x14ac:dyDescent="0.2">
      <c r="H62" s="8">
        <v>0.6</v>
      </c>
      <c r="I62" s="7">
        <f t="shared" si="0"/>
        <v>588.98550724637687</v>
      </c>
      <c r="J62" s="7">
        <f t="shared" si="1"/>
        <v>588.98550724637687</v>
      </c>
    </row>
    <row r="63" spans="8:10" ht="15" customHeight="1" x14ac:dyDescent="0.2">
      <c r="H63" s="6">
        <v>0.61</v>
      </c>
      <c r="I63" s="7">
        <f t="shared" si="0"/>
        <v>569.37906299036104</v>
      </c>
      <c r="J63" s="7">
        <f t="shared" si="1"/>
        <v>569.37906299036104</v>
      </c>
    </row>
    <row r="64" spans="8:10" ht="15" customHeight="1" x14ac:dyDescent="0.2">
      <c r="H64" s="8">
        <v>0.62</v>
      </c>
      <c r="I64" s="7">
        <f t="shared" si="0"/>
        <v>551.03590411107507</v>
      </c>
      <c r="J64" s="7">
        <f t="shared" si="1"/>
        <v>551.03590411107507</v>
      </c>
    </row>
    <row r="65" spans="8:10" ht="15" customHeight="1" x14ac:dyDescent="0.2">
      <c r="H65" s="6">
        <v>0.63</v>
      </c>
      <c r="I65" s="7">
        <f t="shared" si="0"/>
        <v>533.83774695250111</v>
      </c>
      <c r="J65" s="7">
        <f t="shared" si="1"/>
        <v>533.83774695250111</v>
      </c>
    </row>
    <row r="66" spans="8:10" ht="15" customHeight="1" x14ac:dyDescent="0.2">
      <c r="H66" s="8">
        <v>0.64</v>
      </c>
      <c r="I66" s="7">
        <f t="shared" si="0"/>
        <v>517.68062773871407</v>
      </c>
      <c r="J66" s="7">
        <f t="shared" si="1"/>
        <v>517.68062773871407</v>
      </c>
    </row>
    <row r="67" spans="8:10" ht="15" customHeight="1" x14ac:dyDescent="0.2">
      <c r="H67" s="6">
        <v>0.65</v>
      </c>
      <c r="I67" s="7">
        <f t="shared" ref="I67:I102" si="2">IF(OR(J67&lt;0,J67&gt;2000),,J67)</f>
        <v>502.47279920870432</v>
      </c>
      <c r="J67" s="7">
        <f t="shared" ref="J67:J102" si="3">((B$15*B$5)-(B$14*(B$8-B$9))-(B$14*B$17))/((H67*B$5)-((1-B$22)*(B$8-B$9))-((1-H67)*B$17)-((B$12-H67)*(B$13-B$8-B$17)*B$16))</f>
        <v>502.47279920870432</v>
      </c>
    </row>
    <row r="68" spans="8:10" ht="15" customHeight="1" x14ac:dyDescent="0.2">
      <c r="H68" s="8">
        <v>0.66</v>
      </c>
      <c r="I68" s="7">
        <f t="shared" si="2"/>
        <v>488.13298741231864</v>
      </c>
      <c r="J68" s="7">
        <f t="shared" si="3"/>
        <v>488.13298741231864</v>
      </c>
    </row>
    <row r="69" spans="8:10" ht="15" customHeight="1" x14ac:dyDescent="0.2">
      <c r="H69" s="6">
        <v>0.67</v>
      </c>
      <c r="I69" s="7">
        <f t="shared" si="2"/>
        <v>474.58893871449925</v>
      </c>
      <c r="J69" s="7">
        <f t="shared" si="3"/>
        <v>474.58893871449925</v>
      </c>
    </row>
    <row r="70" spans="8:10" ht="15" customHeight="1" x14ac:dyDescent="0.2">
      <c r="H70" s="8">
        <v>0.68</v>
      </c>
      <c r="I70" s="7">
        <f t="shared" si="2"/>
        <v>461.77620216343968</v>
      </c>
      <c r="J70" s="7">
        <f t="shared" si="3"/>
        <v>461.77620216343968</v>
      </c>
    </row>
    <row r="71" spans="8:10" ht="15" customHeight="1" x14ac:dyDescent="0.2">
      <c r="H71" s="6">
        <v>0.69</v>
      </c>
      <c r="I71" s="7">
        <f t="shared" si="2"/>
        <v>449.63710391219695</v>
      </c>
      <c r="J71" s="7">
        <f t="shared" si="3"/>
        <v>449.63710391219695</v>
      </c>
    </row>
    <row r="72" spans="8:10" ht="15" customHeight="1" x14ac:dyDescent="0.2">
      <c r="H72" s="8">
        <v>0.7</v>
      </c>
      <c r="I72" s="7">
        <f t="shared" si="2"/>
        <v>438.11987925830118</v>
      </c>
      <c r="J72" s="7">
        <f t="shared" si="3"/>
        <v>438.11987925830118</v>
      </c>
    </row>
    <row r="73" spans="8:10" ht="15" customHeight="1" x14ac:dyDescent="0.2">
      <c r="H73" s="6">
        <v>0.71</v>
      </c>
      <c r="I73" s="7">
        <f t="shared" si="2"/>
        <v>427.17793474604787</v>
      </c>
      <c r="J73" s="7">
        <f t="shared" si="3"/>
        <v>427.17793474604787</v>
      </c>
    </row>
    <row r="74" spans="8:10" ht="15" customHeight="1" x14ac:dyDescent="0.2">
      <c r="H74" s="8">
        <v>0.72</v>
      </c>
      <c r="I74" s="7">
        <f t="shared" si="2"/>
        <v>416.76921814751017</v>
      </c>
      <c r="J74" s="7">
        <f t="shared" si="3"/>
        <v>416.76921814751017</v>
      </c>
    </row>
    <row r="75" spans="8:10" ht="15" customHeight="1" x14ac:dyDescent="0.2">
      <c r="H75" s="6">
        <v>0.73</v>
      </c>
      <c r="I75" s="7">
        <f t="shared" si="2"/>
        <v>406.85567835976298</v>
      </c>
      <c r="J75" s="7">
        <f t="shared" si="3"/>
        <v>406.85567835976298</v>
      </c>
    </row>
    <row r="76" spans="8:10" ht="15" customHeight="1" x14ac:dyDescent="0.2">
      <c r="H76" s="8">
        <v>0.74</v>
      </c>
      <c r="I76" s="7">
        <f t="shared" si="2"/>
        <v>397.40280059453966</v>
      </c>
      <c r="J76" s="7">
        <f t="shared" si="3"/>
        <v>397.40280059453966</v>
      </c>
    </row>
    <row r="77" spans="8:10" ht="15" customHeight="1" x14ac:dyDescent="0.2">
      <c r="H77" s="6">
        <v>0.75</v>
      </c>
      <c r="I77" s="7">
        <f t="shared" si="2"/>
        <v>388.37920489296641</v>
      </c>
      <c r="J77" s="7">
        <f t="shared" si="3"/>
        <v>388.37920489296641</v>
      </c>
    </row>
    <row r="78" spans="8:10" ht="15" customHeight="1" x14ac:dyDescent="0.2">
      <c r="H78" s="8">
        <v>0.76</v>
      </c>
      <c r="I78" s="7">
        <f t="shared" si="2"/>
        <v>379.75629812364508</v>
      </c>
      <c r="J78" s="7">
        <f t="shared" si="3"/>
        <v>379.75629812364508</v>
      </c>
    </row>
    <row r="79" spans="8:10" ht="15" customHeight="1" x14ac:dyDescent="0.2">
      <c r="H79" s="6">
        <v>0.77</v>
      </c>
      <c r="I79" s="7">
        <f t="shared" si="2"/>
        <v>371.50797133245578</v>
      </c>
      <c r="J79" s="7">
        <f t="shared" si="3"/>
        <v>371.50797133245578</v>
      </c>
    </row>
    <row r="80" spans="8:10" ht="15" customHeight="1" x14ac:dyDescent="0.2">
      <c r="H80" s="8">
        <v>0.78</v>
      </c>
      <c r="I80" s="7">
        <f t="shared" si="2"/>
        <v>363.61033569536897</v>
      </c>
      <c r="J80" s="7">
        <f t="shared" si="3"/>
        <v>363.61033569536897</v>
      </c>
    </row>
    <row r="81" spans="8:10" ht="15" customHeight="1" x14ac:dyDescent="0.2">
      <c r="H81" s="6">
        <v>0.79</v>
      </c>
      <c r="I81" s="7">
        <f t="shared" si="2"/>
        <v>356.04149144939726</v>
      </c>
      <c r="J81" s="7">
        <f t="shared" si="3"/>
        <v>356.04149144939726</v>
      </c>
    </row>
    <row r="82" spans="8:10" ht="15" customHeight="1" x14ac:dyDescent="0.2">
      <c r="H82" s="8">
        <v>0.8</v>
      </c>
      <c r="I82" s="7">
        <f t="shared" si="2"/>
        <v>348.78132509440445</v>
      </c>
      <c r="J82" s="7">
        <f t="shared" si="3"/>
        <v>348.78132509440445</v>
      </c>
    </row>
    <row r="83" spans="8:10" ht="15" customHeight="1" x14ac:dyDescent="0.2">
      <c r="H83" s="6">
        <v>0.81</v>
      </c>
      <c r="I83" s="7">
        <f t="shared" si="2"/>
        <v>341.81133091104834</v>
      </c>
      <c r="J83" s="7">
        <f t="shared" si="3"/>
        <v>341.81133091104834</v>
      </c>
    </row>
    <row r="84" spans="8:10" ht="15" customHeight="1" x14ac:dyDescent="0.2">
      <c r="H84" s="8">
        <v>0.82</v>
      </c>
      <c r="I84" s="7">
        <f t="shared" si="2"/>
        <v>335.11445345999084</v>
      </c>
      <c r="J84" s="7">
        <f t="shared" si="3"/>
        <v>335.11445345999084</v>
      </c>
    </row>
    <row r="85" spans="8:10" ht="15" customHeight="1" x14ac:dyDescent="0.2">
      <c r="H85" s="6">
        <v>0.83</v>
      </c>
      <c r="I85" s="7">
        <f t="shared" si="2"/>
        <v>328.67494824016569</v>
      </c>
      <c r="J85" s="7">
        <f t="shared" si="3"/>
        <v>328.67494824016569</v>
      </c>
    </row>
    <row r="86" spans="8:10" ht="15" customHeight="1" x14ac:dyDescent="0.2">
      <c r="H86" s="8">
        <v>0.84</v>
      </c>
      <c r="I86" s="7">
        <f t="shared" si="2"/>
        <v>322.47825810956641</v>
      </c>
      <c r="J86" s="7">
        <f t="shared" si="3"/>
        <v>322.47825810956641</v>
      </c>
    </row>
    <row r="87" spans="8:10" ht="15" customHeight="1" x14ac:dyDescent="0.2">
      <c r="H87" s="6">
        <v>0.85</v>
      </c>
      <c r="I87" s="7">
        <f t="shared" si="2"/>
        <v>316.51090342679129</v>
      </c>
      <c r="J87" s="7">
        <f t="shared" si="3"/>
        <v>316.51090342679129</v>
      </c>
    </row>
    <row r="88" spans="8:10" ht="15" customHeight="1" x14ac:dyDescent="0.2">
      <c r="H88" s="8">
        <v>0.86</v>
      </c>
      <c r="I88" s="7">
        <f t="shared" si="2"/>
        <v>310.76038416834905</v>
      </c>
      <c r="J88" s="7">
        <f t="shared" si="3"/>
        <v>310.76038416834905</v>
      </c>
    </row>
    <row r="89" spans="8:10" ht="15" customHeight="1" x14ac:dyDescent="0.2">
      <c r="H89" s="6">
        <v>0.87</v>
      </c>
      <c r="I89" s="7">
        <f t="shared" si="2"/>
        <v>305.21509252583519</v>
      </c>
      <c r="J89" s="7">
        <f t="shared" si="3"/>
        <v>305.21509252583519</v>
      </c>
    </row>
    <row r="90" spans="8:10" ht="15" customHeight="1" x14ac:dyDescent="0.2">
      <c r="H90" s="8">
        <v>0.88</v>
      </c>
      <c r="I90" s="7">
        <f t="shared" si="2"/>
        <v>299.8642346968893</v>
      </c>
      <c r="J90" s="7">
        <f t="shared" si="3"/>
        <v>299.8642346968893</v>
      </c>
    </row>
    <row r="91" spans="8:10" ht="15" customHeight="1" x14ac:dyDescent="0.2">
      <c r="H91" s="6">
        <v>0.89</v>
      </c>
      <c r="I91" s="7">
        <f t="shared" si="2"/>
        <v>294.69776076110924</v>
      </c>
      <c r="J91" s="7">
        <f t="shared" si="3"/>
        <v>294.69776076110924</v>
      </c>
    </row>
    <row r="92" spans="8:10" ht="15" customHeight="1" x14ac:dyDescent="0.2">
      <c r="H92" s="8">
        <v>0.9</v>
      </c>
      <c r="I92" s="7">
        <f t="shared" si="2"/>
        <v>289.70630168234959</v>
      </c>
      <c r="J92" s="7">
        <f t="shared" si="3"/>
        <v>289.70630168234959</v>
      </c>
    </row>
    <row r="93" spans="8:10" ht="15" customHeight="1" x14ac:dyDescent="0.2">
      <c r="H93" s="6">
        <v>0.91</v>
      </c>
      <c r="I93" s="7">
        <f t="shared" si="2"/>
        <v>284.88111260655</v>
      </c>
      <c r="J93" s="7">
        <f t="shared" si="3"/>
        <v>284.88111260655</v>
      </c>
    </row>
    <row r="94" spans="8:10" ht="15" customHeight="1" x14ac:dyDescent="0.2">
      <c r="H94" s="8">
        <v>0.92</v>
      </c>
      <c r="I94" s="7">
        <f t="shared" si="2"/>
        <v>280.2140217331347</v>
      </c>
      <c r="J94" s="7">
        <f t="shared" si="3"/>
        <v>280.2140217331347</v>
      </c>
    </row>
    <row r="95" spans="8:10" ht="15" customHeight="1" x14ac:dyDescent="0.2">
      <c r="H95" s="6">
        <v>0.93</v>
      </c>
      <c r="I95" s="7">
        <f t="shared" si="2"/>
        <v>275.69738413111907</v>
      </c>
      <c r="J95" s="7">
        <f t="shared" si="3"/>
        <v>275.69738413111907</v>
      </c>
    </row>
    <row r="96" spans="8:10" ht="15" customHeight="1" x14ac:dyDescent="0.2">
      <c r="H96" s="8">
        <v>0.94</v>
      </c>
      <c r="I96" s="7">
        <f t="shared" si="2"/>
        <v>271.32403995086264</v>
      </c>
      <c r="J96" s="7">
        <f t="shared" si="3"/>
        <v>271.32403995086264</v>
      </c>
    </row>
    <row r="97" spans="8:10" ht="15" customHeight="1" x14ac:dyDescent="0.2">
      <c r="H97" s="6">
        <v>0.95</v>
      </c>
      <c r="I97" s="7">
        <f t="shared" si="2"/>
        <v>267.08727655099898</v>
      </c>
      <c r="J97" s="7">
        <f t="shared" si="3"/>
        <v>267.08727655099898</v>
      </c>
    </row>
    <row r="98" spans="8:10" ht="15" customHeight="1" x14ac:dyDescent="0.2">
      <c r="H98" s="8">
        <v>0.96</v>
      </c>
      <c r="I98" s="7">
        <f t="shared" si="2"/>
        <v>262.98079411916967</v>
      </c>
      <c r="J98" s="7">
        <f t="shared" si="3"/>
        <v>262.98079411916967</v>
      </c>
    </row>
    <row r="99" spans="8:10" ht="15" customHeight="1" x14ac:dyDescent="0.2">
      <c r="H99" s="6">
        <v>0.97</v>
      </c>
      <c r="I99" s="7">
        <f t="shared" si="2"/>
        <v>258.99867441623331</v>
      </c>
      <c r="J99" s="7">
        <f t="shared" si="3"/>
        <v>258.99867441623331</v>
      </c>
    </row>
    <row r="100" spans="8:10" ht="15" customHeight="1" x14ac:dyDescent="0.2">
      <c r="H100" s="8">
        <v>0.98</v>
      </c>
      <c r="I100" s="7">
        <f t="shared" si="2"/>
        <v>255.1353523178143</v>
      </c>
      <c r="J100" s="7">
        <f t="shared" si="3"/>
        <v>255.1353523178143</v>
      </c>
    </row>
    <row r="101" spans="8:10" ht="15" customHeight="1" x14ac:dyDescent="0.2">
      <c r="H101" s="6">
        <v>0.99</v>
      </c>
      <c r="I101" s="7">
        <f t="shared" si="2"/>
        <v>251.38558986539985</v>
      </c>
      <c r="J101" s="7">
        <f t="shared" si="3"/>
        <v>251.38558986539985</v>
      </c>
    </row>
    <row r="102" spans="8:10" ht="15" customHeight="1" x14ac:dyDescent="0.2">
      <c r="H102" s="8">
        <v>1</v>
      </c>
      <c r="I102" s="7">
        <f t="shared" si="2"/>
        <v>247.74445257254331</v>
      </c>
      <c r="J102" s="7">
        <f t="shared" si="3"/>
        <v>247.74445257254331</v>
      </c>
    </row>
  </sheetData>
  <phoneticPr fontId="1" type="noConversion"/>
  <dataValidations count="1">
    <dataValidation type="list" allowBlank="1" showInputMessage="1" showErrorMessage="1" sqref="B23" xr:uid="{AD7B4E2C-831D-43AB-A88C-F82B99133F28}">
      <formula1>"活期,3个月定期,6个月定期"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Chen</dc:creator>
  <cp:lastModifiedBy>Monica Chen</cp:lastModifiedBy>
  <dcterms:created xsi:type="dcterms:W3CDTF">2015-06-05T18:19:34Z</dcterms:created>
  <dcterms:modified xsi:type="dcterms:W3CDTF">2026-04-14T08:47:11Z</dcterms:modified>
</cp:coreProperties>
</file>